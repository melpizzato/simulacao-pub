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\Documents\simulacao-pub\results\"/>
    </mc:Choice>
  </mc:AlternateContent>
  <xr:revisionPtr revIDLastSave="0" documentId="13_ncr:1_{DC24277E-51FF-4CBC-ABF6-DDB3AE5D03E3}" xr6:coauthVersionLast="47" xr6:coauthVersionMax="47" xr10:uidLastSave="{00000000-0000-0000-0000-000000000000}"/>
  <bookViews>
    <workbookView xWindow="-28920" yWindow="-120" windowWidth="29040" windowHeight="16440" activeTab="3" xr2:uid="{BD012739-9C3F-4431-8C6B-35A16E50F8F9}"/>
  </bookViews>
  <sheets>
    <sheet name="Timeline1" sheetId="4" r:id="rId1"/>
    <sheet name="Waitress1" sheetId="3" r:id="rId2"/>
    <sheet name="Client1" sheetId="2" r:id="rId3"/>
    <sheet name="Timeline2" sheetId="7" r:id="rId4"/>
    <sheet name="Waitress2" sheetId="6" r:id="rId5"/>
    <sheet name="Client2" sheetId="5" r:id="rId6"/>
  </sheets>
  <definedNames>
    <definedName name="DadosExternos_1" localSheetId="2" hidden="1">Client1!$A$1:$E$5</definedName>
    <definedName name="DadosExternos_2" localSheetId="5" hidden="1">Client2!$A$1:$E$3</definedName>
    <definedName name="DadosExternos_2" localSheetId="1" hidden="1">Waitress1!$A$1:$D$3</definedName>
    <definedName name="DadosExternos_2" localSheetId="4" hidden="1">Waitress2!$A$1:$D$3</definedName>
    <definedName name="DadosExternos_3" localSheetId="0" hidden="1">Timeline1!$A$1:$F$57</definedName>
    <definedName name="DadosExternos_3" localSheetId="3" hidden="1">Timeline2!$A$1:$F$29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5" l="1"/>
  <c r="D5" i="6"/>
  <c r="C5" i="6"/>
  <c r="B5" i="6"/>
  <c r="D5" i="3"/>
  <c r="C5" i="3"/>
  <c r="B5" i="3"/>
  <c r="D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042B62-9357-4AA9-8BD5-72DACEB47D52}" keepAlive="1" name="Consulta - client" description="Conexão com a consulta 'client' na pasta de trabalho." type="5" refreshedVersion="8" background="1" saveData="1">
    <dbPr connection="Provider=Microsoft.Mashup.OleDb.1;Data Source=$Workbook$;Location=client;Extended Properties=&quot;&quot;" command="SELECT * FROM [client]"/>
  </connection>
  <connection id="2" xr16:uid="{8A4A7627-513F-4780-B47B-6F04C540EE2F}" keepAlive="1" name="Consulta - client (2)" description="Conexão com a consulta 'client (2)' na pasta de trabalho." type="5" refreshedVersion="8" background="1" saveData="1">
    <dbPr connection="Provider=Microsoft.Mashup.OleDb.1;Data Source=$Workbook$;Location=&quot;client (2)&quot;;Extended Properties=&quot;&quot;" command="SELECT * FROM [client (2)]"/>
  </connection>
  <connection id="3" xr16:uid="{6A54921E-A3F8-45D3-875B-1F2549448CF0}" keepAlive="1" name="Consulta - timeline" description="Conexão com a consulta 'timeline' na pasta de trabalho." type="5" refreshedVersion="8" background="1" saveData="1">
    <dbPr connection="Provider=Microsoft.Mashup.OleDb.1;Data Source=$Workbook$;Location=timeline;Extended Properties=&quot;&quot;" command="SELECT * FROM [timeline]"/>
  </connection>
  <connection id="4" xr16:uid="{5ABCB9AA-BA11-4D4D-9C7F-6DE74F840D72}" keepAlive="1" name="Consulta - timeline (2)" description="Conexão com a consulta 'timeline (2)' na pasta de trabalho." type="5" refreshedVersion="8" background="1" saveData="1">
    <dbPr connection="Provider=Microsoft.Mashup.OleDb.1;Data Source=$Workbook$;Location=&quot;timeline (2)&quot;;Extended Properties=&quot;&quot;" command="SELECT * FROM [timeline (2)]"/>
  </connection>
  <connection id="5" xr16:uid="{49EE2B2E-3CE8-4E9D-BD6A-A2205C303CF5}" keepAlive="1" name="Consulta - waitress" description="Conexão com a consulta 'waitress' na pasta de trabalho." type="5" refreshedVersion="8" background="1" saveData="1">
    <dbPr connection="Provider=Microsoft.Mashup.OleDb.1;Data Source=$Workbook$;Location=waitress;Extended Properties=&quot;&quot;" command="SELECT * FROM [waitress]"/>
  </connection>
  <connection id="6" xr16:uid="{9C56101B-6082-4EBB-9A73-37766E2BA3F7}" keepAlive="1" name="Consulta - waitress (2)" description="Conexão com a consulta 'waitress (2)' na pasta de trabalho." type="5" refreshedVersion="8" background="1" saveData="1">
    <dbPr connection="Provider=Microsoft.Mashup.OleDb.1;Data Source=$Workbook$;Location=&quot;waitress (2)&quot;;Extended Properties=&quot;&quot;" command="SELECT * FROM [waitress (2)]"/>
  </connection>
</connections>
</file>

<file path=xl/sharedStrings.xml><?xml version="1.0" encoding="utf-8"?>
<sst xmlns="http://schemas.openxmlformats.org/spreadsheetml/2006/main" count="384" uniqueCount="85">
  <si>
    <t>client</t>
  </si>
  <si>
    <t>arrival_time</t>
  </si>
  <si>
    <t>exit_time</t>
  </si>
  <si>
    <t>total_wait_time</t>
  </si>
  <si>
    <t>total_drinks_taken</t>
  </si>
  <si>
    <t>C001</t>
  </si>
  <si>
    <t>2</t>
  </si>
  <si>
    <t>C002</t>
  </si>
  <si>
    <t>3</t>
  </si>
  <si>
    <t>C003</t>
  </si>
  <si>
    <t>C004</t>
  </si>
  <si>
    <t>4</t>
  </si>
  <si>
    <t>waitress</t>
  </si>
  <si>
    <t>time_filling</t>
  </si>
  <si>
    <t>time_cleaning</t>
  </si>
  <si>
    <t>total_busy_time</t>
  </si>
  <si>
    <t>W001</t>
  </si>
  <si>
    <t>W002</t>
  </si>
  <si>
    <t>id</t>
  </si>
  <si>
    <t>clock</t>
  </si>
  <si>
    <t>event</t>
  </si>
  <si>
    <t>duration</t>
  </si>
  <si>
    <t>1</t>
  </si>
  <si>
    <t>Arriving</t>
  </si>
  <si>
    <t/>
  </si>
  <si>
    <t>Filling</t>
  </si>
  <si>
    <t>Drinking</t>
  </si>
  <si>
    <t>5</t>
  </si>
  <si>
    <t>6</t>
  </si>
  <si>
    <t>7</t>
  </si>
  <si>
    <t>8</t>
  </si>
  <si>
    <t>9</t>
  </si>
  <si>
    <t>Cleaning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</si>
  <si>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</si>
  <si>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</si>
  <si>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</si>
  <si>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</si>
  <si>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</si>
  <si>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</si>
  <si>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</si>
  <si>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</si>
  <si>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</si>
  <si>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</si>
  <si>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</si>
  <si>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</si>
  <si>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</si>
  <si>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</si>
  <si>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</si>
  <si>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</si>
  <si>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</si>
  <si>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</si>
  <si>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</si>
  <si>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</si>
  <si>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</si>
  <si>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</si>
  <si>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</si>
  <si>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</si>
  <si>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</si>
  <si>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</si>
  <si>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</si>
  <si>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</si>
  <si>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</si>
  <si>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</si>
  <si>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</si>
  <si>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</si>
  <si>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</si>
  <si>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</si>
  <si>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</si>
  <si>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</si>
  <si>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</si>
  <si>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</si>
  <si>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</si>
  <si>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</si>
  <si>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</si>
  <si>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</si>
  <si>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</si>
  <si>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</si>
  <si>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</si>
  <si>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</si>
  <si>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</si>
  <si>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Total</t>
  </si>
  <si>
    <t>Final clock=</t>
  </si>
  <si>
    <t>total=</t>
  </si>
  <si>
    <t>final clock=</t>
  </si>
  <si>
    <t>timeline=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</si>
</sst>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4D82F19E-B2C3-44F1-A0B7-2F830FDBF97D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clock" tableColumnId="2"/>
      <queryTableField id="3" name="event" tableColumnId="3"/>
      <queryTableField id="4" name="client" tableColumnId="4"/>
      <queryTableField id="5" name="waitress" tableColumnId="5"/>
      <queryTableField id="6" name="durat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5" xr16:uid="{98B1CA05-204B-44AD-A309-30BA5657FC9C}" autoFormatId="16" applyNumberFormats="0" applyBorderFormats="0" applyFontFormats="0" applyPatternFormats="0" applyAlignmentFormats="0" applyWidthHeightFormats="0">
  <queryTableRefresh nextId="5">
    <queryTableFields count="4">
      <queryTableField id="1" name="waitress" tableColumnId="1"/>
      <queryTableField id="2" name="time_filling" tableColumnId="2"/>
      <queryTableField id="3" name="time_cleaning" tableColumnId="3"/>
      <queryTableField id="4" name="total_busy_tim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B77F30D-E31B-4DE2-A0B7-C27FA42E1C3C}" autoFormatId="16" applyNumberFormats="0" applyBorderFormats="0" applyFontFormats="0" applyPatternFormats="0" applyAlignmentFormats="0" applyWidthHeightFormats="0">
  <queryTableRefresh nextId="6">
    <queryTableFields count="5">
      <queryTableField id="1" name="client" tableColumnId="1"/>
      <queryTableField id="2" name="arrival_time" tableColumnId="2"/>
      <queryTableField id="3" name="exit_time" tableColumnId="3"/>
      <queryTableField id="4" name="total_wait_time" tableColumnId="4"/>
      <queryTableField id="5" name="total_drinks_taken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4" xr16:uid="{3FD96E73-4873-4279-B20B-C86490664E94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clock" tableColumnId="2"/>
      <queryTableField id="3" name="event" tableColumnId="3"/>
      <queryTableField id="4" name="client" tableColumnId="4"/>
      <queryTableField id="5" name="waitress" tableColumnId="5"/>
      <queryTableField id="6" name="duration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1FF91D7-B11A-4E14-B8AC-1ECC295F11D9}" autoFormatId="16" applyNumberFormats="0" applyBorderFormats="0" applyFontFormats="0" applyPatternFormats="0" applyAlignmentFormats="0" applyWidthHeightFormats="0">
  <queryTableRefresh nextId="5">
    <queryTableFields count="4">
      <queryTableField id="1" name="waitress" tableColumnId="1"/>
      <queryTableField id="2" name="time_filling" tableColumnId="2"/>
      <queryTableField id="3" name="time_cleaning" tableColumnId="3"/>
      <queryTableField id="4" name="total_busy_tim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2C43B9B4-010B-4964-8C9D-225CECBED3F6}" autoFormatId="16" applyNumberFormats="0" applyBorderFormats="0" applyFontFormats="0" applyPatternFormats="0" applyAlignmentFormats="0" applyWidthHeightFormats="0">
  <queryTableRefresh nextId="6">
    <queryTableFields count="5">
      <queryTableField id="1" name="client" tableColumnId="1"/>
      <queryTableField id="2" name="arrival_time" tableColumnId="2"/>
      <queryTableField id="3" name="exit_time" tableColumnId="3"/>
      <queryTableField id="4" name="total_wait_time" tableColumnId="4"/>
      <queryTableField id="5" name="total_drinks_take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18C317-A538-46C5-8EC2-B8DEDF4A7737}" name="timeline" displayName="timeline" ref="A1:F57" tableType="queryTable" totalsRowShown="0">
  <autoFilter ref="A1:F57" xr:uid="{1318C317-A538-46C5-8EC2-B8DEDF4A7737}"/>
  <tableColumns count="6">
    <tableColumn id="1" xr3:uid="{6D6C4DBC-3B8D-4406-BD24-248F1DC907CC}" uniqueName="1" name="id" queryTableFieldId="1" dataDxfId="12"/>
    <tableColumn id="2" xr3:uid="{220E37FA-1C1D-4CEF-A132-725C4442A0D1}" uniqueName="2" name="clock" queryTableFieldId="2"/>
    <tableColumn id="3" xr3:uid="{9D47F9E5-50B3-4290-9757-E1A8C3F27C13}" uniqueName="3" name="event" queryTableFieldId="3" dataDxfId="11"/>
    <tableColumn id="4" xr3:uid="{C671AA5A-0292-4CC0-924D-2C908420BA98}" uniqueName="4" name="client" queryTableFieldId="4" dataDxfId="10"/>
    <tableColumn id="5" xr3:uid="{02BBC115-A33D-450F-BA5F-6ACB124E5B83}" uniqueName="5" name="waitress" queryTableFieldId="5" dataDxfId="9"/>
    <tableColumn id="6" xr3:uid="{4E0A7BE9-D2D7-4D4D-B6EC-0DD5705876EC}" uniqueName="6" name="duration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7C074E-879E-473C-B82B-B0CEAD0F715F}" name="waitress" displayName="waitress" ref="A1:D3" tableType="queryTable" totalsRowShown="0">
  <autoFilter ref="A1:D3" xr:uid="{AD7C074E-879E-473C-B82B-B0CEAD0F715F}"/>
  <tableColumns count="4">
    <tableColumn id="1" xr3:uid="{6F2BA40B-F45A-4C4B-9486-E68E3E326226}" uniqueName="1" name="waitress" queryTableFieldId="1" dataDxfId="13"/>
    <tableColumn id="2" xr3:uid="{4973BBC9-A8F8-48D9-B4C3-962E3DA394B8}" uniqueName="2" name="time_filling" queryTableFieldId="2"/>
    <tableColumn id="3" xr3:uid="{E5FC8AD3-827D-439C-9DD8-D9E90DCB5927}" uniqueName="3" name="time_cleaning" queryTableFieldId="3"/>
    <tableColumn id="4" xr3:uid="{5EDF66F9-C1B9-4D13-8801-956E1CC5E5E0}" uniqueName="4" name="total_busy_tim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94208B-B7A1-4C98-8305-FD80395898E0}" name="client" displayName="client" ref="A1:E5" tableType="queryTable" totalsRowShown="0">
  <autoFilter ref="A1:E5" xr:uid="{C294208B-B7A1-4C98-8305-FD80395898E0}"/>
  <tableColumns count="5">
    <tableColumn id="1" xr3:uid="{8BEECC9E-8351-4F48-9F78-E025D1BCD6DD}" uniqueName="1" name="client" queryTableFieldId="1" dataDxfId="1"/>
    <tableColumn id="2" xr3:uid="{4A865180-1C31-4524-AC59-A231A88E0D3D}" uniqueName="2" name="arrival_time" queryTableFieldId="2"/>
    <tableColumn id="3" xr3:uid="{1CA272C5-DE7A-48F6-8BB7-6D274643DB3A}" uniqueName="3" name="exit_time" queryTableFieldId="3"/>
    <tableColumn id="4" xr3:uid="{9F452EEE-F79D-4C71-89A1-E7C6E2F05978}" uniqueName="4" name="total_wait_time" queryTableFieldId="4"/>
    <tableColumn id="5" xr3:uid="{688DC4A7-760F-4732-8E5D-CA8AEE3D67FA}" uniqueName="5" name="total_drinks_taken" queryTableFieldId="5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09ED90E-8102-4C1D-B55F-C77D1B7CBC70}" name="timeline__2" displayName="timeline__2" ref="A1:F29" tableType="queryTable" totalsRowShown="0">
  <autoFilter ref="A1:F29" xr:uid="{C09ED90E-8102-4C1D-B55F-C77D1B7CBC70}"/>
  <tableColumns count="6">
    <tableColumn id="1" xr3:uid="{3EC8CEB5-E85B-4BAC-85C6-178AA3B00330}" uniqueName="1" name="id" queryTableFieldId="1" dataDxfId="7"/>
    <tableColumn id="2" xr3:uid="{1A6ED210-F269-4FCC-B6B7-15D2F4F53FA8}" uniqueName="2" name="clock" queryTableFieldId="2"/>
    <tableColumn id="3" xr3:uid="{028316FE-6196-4C27-A8C5-68C810C0A729}" uniqueName="3" name="event" queryTableFieldId="3" dataDxfId="6"/>
    <tableColumn id="4" xr3:uid="{384D3D6A-717F-416F-A767-4EF6114D1452}" uniqueName="4" name="client" queryTableFieldId="4" dataDxfId="5"/>
    <tableColumn id="5" xr3:uid="{C2610A47-5F5E-428B-A352-A3CC9D4164CE}" uniqueName="5" name="waitress" queryTableFieldId="5" dataDxfId="4"/>
    <tableColumn id="6" xr3:uid="{074FFE3E-5A02-433E-958A-47EB514F39D5}" uniqueName="6" name="duration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FA3197-28D9-4162-A898-6804580C056D}" name="waitress__2" displayName="waitress__2" ref="A1:D3" tableType="queryTable" totalsRowShown="0">
  <autoFilter ref="A1:D3" xr:uid="{A6FA3197-28D9-4162-A898-6804580C056D}"/>
  <tableColumns count="4">
    <tableColumn id="1" xr3:uid="{AB040517-313F-4D0E-A87A-E5BB314F3781}" uniqueName="1" name="waitress" queryTableFieldId="1" dataDxfId="8"/>
    <tableColumn id="2" xr3:uid="{12FABB2F-7BCF-4ED3-A4B6-D57A09A6AD1C}" uniqueName="2" name="time_filling" queryTableFieldId="2"/>
    <tableColumn id="3" xr3:uid="{4E1C5990-A9A0-4D4C-BD5F-65D9D7BB1383}" uniqueName="3" name="time_cleaning" queryTableFieldId="3"/>
    <tableColumn id="4" xr3:uid="{D8D1D037-65B5-4EE1-9194-1FA43C382E73}" uniqueName="4" name="total_busy_time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35C124-D55B-47D9-B2E8-2AEB354AC460}" name="client__2" displayName="client__2" ref="A1:E3" tableType="queryTable" totalsRowShown="0">
  <autoFilter ref="A1:E3" xr:uid="{FA35C124-D55B-47D9-B2E8-2AEB354AC460}"/>
  <tableColumns count="5">
    <tableColumn id="1" xr3:uid="{04F49281-5B6A-4A68-9A20-08BBF83A1A7E}" uniqueName="1" name="client" queryTableFieldId="1" dataDxfId="3"/>
    <tableColumn id="2" xr3:uid="{76D3D4E6-69F9-484B-A2C5-1D78F6415A76}" uniqueName="2" name="arrival_time" queryTableFieldId="2"/>
    <tableColumn id="3" xr3:uid="{0AF0FD70-1886-453C-A031-EF293660A076}" uniqueName="3" name="exit_time" queryTableFieldId="3"/>
    <tableColumn id="4" xr3:uid="{234B944F-E775-4F7B-9DB1-73A357162060}" uniqueName="4" name="total_wait_time" queryTableFieldId="4"/>
    <tableColumn id="5" xr3:uid="{61B7A92E-BF55-4463-A2AA-679375CA8462}" uniqueName="5" name="total_drinks_taken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4F5B-9324-4B9A-8164-4B58D21DE9F3}">
  <dimension ref="A1:F57"/>
  <sheetViews>
    <sheetView topLeftCell="A28" workbookViewId="0">
      <selection activeCell="H5" sqref="H5"/>
    </sheetView>
  </sheetViews>
  <sheetFormatPr defaultRowHeight="15" x14ac:dyDescent="0.25"/>
  <cols>
    <col min="1" max="1" width="5" bestFit="1" customWidth="1"/>
    <col min="2" max="2" width="8" bestFit="1" customWidth="1"/>
    <col min="3" max="3" width="8.7109375" bestFit="1" customWidth="1"/>
    <col min="4" max="4" width="8.42578125" bestFit="1" customWidth="1"/>
    <col min="5" max="6" width="10.85546875" bestFit="1" customWidth="1"/>
  </cols>
  <sheetData>
    <row r="1" spans="1:6" x14ac:dyDescent="0.25">
      <c r="A1" t="s">
        <v>18</v>
      </c>
      <c r="B1" t="s">
        <v>19</v>
      </c>
      <c r="C1" t="s">
        <v>20</v>
      </c>
      <c r="D1" t="s">
        <v>0</v>
      </c>
      <c r="E1" t="s">
        <v>12</v>
      </c>
      <c r="F1" t="s">
        <v>21</v>
      </c>
    </row>
    <row r="2" spans="1:6" x14ac:dyDescent="0.25">
      <c r="A2" s="1" t="s">
        <v>22</v>
      </c>
      <c r="B2">
        <v>12.5</v>
      </c>
      <c r="C2" s="1" t="s">
        <v>23</v>
      </c>
      <c r="D2" s="1" t="s">
        <v>5</v>
      </c>
      <c r="E2" s="1" t="s">
        <v>24</v>
      </c>
      <c r="F2">
        <v>12.5</v>
      </c>
    </row>
    <row r="3" spans="1:6" x14ac:dyDescent="0.25">
      <c r="A3" s="1" t="s">
        <v>6</v>
      </c>
      <c r="B3">
        <v>16.5</v>
      </c>
      <c r="C3" s="1" t="s">
        <v>25</v>
      </c>
      <c r="D3" s="1" t="s">
        <v>5</v>
      </c>
      <c r="E3" s="1" t="s">
        <v>16</v>
      </c>
      <c r="F3">
        <v>4</v>
      </c>
    </row>
    <row r="4" spans="1:6" x14ac:dyDescent="0.25">
      <c r="A4" s="1" t="s">
        <v>8</v>
      </c>
      <c r="B4">
        <v>20</v>
      </c>
      <c r="C4" s="1" t="s">
        <v>23</v>
      </c>
      <c r="D4" s="1" t="s">
        <v>7</v>
      </c>
      <c r="E4" s="1" t="s">
        <v>24</v>
      </c>
      <c r="F4">
        <v>7.5</v>
      </c>
    </row>
    <row r="5" spans="1:6" x14ac:dyDescent="0.25">
      <c r="A5" s="1" t="s">
        <v>11</v>
      </c>
      <c r="B5">
        <v>22.5</v>
      </c>
      <c r="C5" s="1" t="s">
        <v>26</v>
      </c>
      <c r="D5" s="1" t="s">
        <v>5</v>
      </c>
      <c r="E5" s="1" t="s">
        <v>24</v>
      </c>
      <c r="F5">
        <v>6</v>
      </c>
    </row>
    <row r="6" spans="1:6" x14ac:dyDescent="0.25">
      <c r="A6" s="1" t="s">
        <v>27</v>
      </c>
      <c r="B6">
        <v>26</v>
      </c>
      <c r="C6" s="1" t="s">
        <v>25</v>
      </c>
      <c r="D6" s="1" t="s">
        <v>7</v>
      </c>
      <c r="E6" s="1" t="s">
        <v>16</v>
      </c>
      <c r="F6">
        <v>6</v>
      </c>
    </row>
    <row r="7" spans="1:6" x14ac:dyDescent="0.25">
      <c r="A7" s="1" t="s">
        <v>28</v>
      </c>
      <c r="B7">
        <v>27.5</v>
      </c>
      <c r="C7" s="1" t="s">
        <v>23</v>
      </c>
      <c r="D7" s="1" t="s">
        <v>9</v>
      </c>
      <c r="E7" s="1" t="s">
        <v>24</v>
      </c>
      <c r="F7">
        <v>7.5</v>
      </c>
    </row>
    <row r="8" spans="1:6" x14ac:dyDescent="0.25">
      <c r="A8" s="1" t="s">
        <v>29</v>
      </c>
      <c r="B8">
        <v>27.5</v>
      </c>
      <c r="C8" s="1" t="s">
        <v>25</v>
      </c>
      <c r="D8" s="1" t="s">
        <v>5</v>
      </c>
      <c r="E8" s="1" t="s">
        <v>17</v>
      </c>
      <c r="F8">
        <v>5</v>
      </c>
    </row>
    <row r="9" spans="1:6" x14ac:dyDescent="0.25">
      <c r="A9" s="1" t="s">
        <v>30</v>
      </c>
      <c r="B9">
        <v>30</v>
      </c>
      <c r="C9" s="1" t="s">
        <v>23</v>
      </c>
      <c r="D9" s="1" t="s">
        <v>10</v>
      </c>
      <c r="E9" s="1" t="s">
        <v>24</v>
      </c>
      <c r="F9">
        <v>2.5</v>
      </c>
    </row>
    <row r="10" spans="1:6" x14ac:dyDescent="0.25">
      <c r="A10" s="1" t="s">
        <v>31</v>
      </c>
      <c r="B10">
        <v>31</v>
      </c>
      <c r="C10" s="1" t="s">
        <v>32</v>
      </c>
      <c r="D10" s="1" t="s">
        <v>24</v>
      </c>
      <c r="E10" s="1" t="s">
        <v>16</v>
      </c>
      <c r="F10">
        <v>5</v>
      </c>
    </row>
    <row r="11" spans="1:6" x14ac:dyDescent="0.25">
      <c r="A11" s="1" t="s">
        <v>33</v>
      </c>
      <c r="B11">
        <v>31</v>
      </c>
      <c r="C11" s="1" t="s">
        <v>26</v>
      </c>
      <c r="D11" s="1" t="s">
        <v>7</v>
      </c>
      <c r="E11" s="1" t="s">
        <v>24</v>
      </c>
      <c r="F11">
        <v>5</v>
      </c>
    </row>
    <row r="12" spans="1:6" x14ac:dyDescent="0.25">
      <c r="A12" s="1" t="s">
        <v>34</v>
      </c>
      <c r="B12">
        <v>34.5</v>
      </c>
      <c r="C12" s="1" t="s">
        <v>25</v>
      </c>
      <c r="D12" s="1" t="s">
        <v>9</v>
      </c>
      <c r="E12" s="1" t="s">
        <v>17</v>
      </c>
      <c r="F12">
        <v>7</v>
      </c>
    </row>
    <row r="13" spans="1:6" x14ac:dyDescent="0.25">
      <c r="A13" s="1" t="s">
        <v>35</v>
      </c>
      <c r="B13">
        <v>35.5</v>
      </c>
      <c r="C13" s="1" t="s">
        <v>26</v>
      </c>
      <c r="D13" s="1" t="s">
        <v>5</v>
      </c>
      <c r="E13" s="1" t="s">
        <v>24</v>
      </c>
      <c r="F13">
        <v>8</v>
      </c>
    </row>
    <row r="14" spans="1:6" x14ac:dyDescent="0.25">
      <c r="A14" s="1" t="s">
        <v>36</v>
      </c>
      <c r="B14">
        <v>37</v>
      </c>
      <c r="C14" s="1" t="s">
        <v>25</v>
      </c>
      <c r="D14" s="1" t="s">
        <v>10</v>
      </c>
      <c r="E14" s="1" t="s">
        <v>16</v>
      </c>
      <c r="F14">
        <v>6</v>
      </c>
    </row>
    <row r="15" spans="1:6" x14ac:dyDescent="0.25">
      <c r="A15" s="1" t="s">
        <v>37</v>
      </c>
      <c r="B15">
        <v>40.5</v>
      </c>
      <c r="C15" s="1" t="s">
        <v>25</v>
      </c>
      <c r="D15" s="1" t="s">
        <v>7</v>
      </c>
      <c r="E15" s="1" t="s">
        <v>17</v>
      </c>
      <c r="F15">
        <v>6</v>
      </c>
    </row>
    <row r="16" spans="1:6" x14ac:dyDescent="0.25">
      <c r="A16" s="1" t="s">
        <v>38</v>
      </c>
      <c r="B16">
        <v>41.5</v>
      </c>
      <c r="C16" s="1" t="s">
        <v>26</v>
      </c>
      <c r="D16" s="1" t="s">
        <v>9</v>
      </c>
      <c r="E16" s="1" t="s">
        <v>24</v>
      </c>
      <c r="F16">
        <v>7</v>
      </c>
    </row>
    <row r="17" spans="1:6" x14ac:dyDescent="0.25">
      <c r="A17" s="1" t="s">
        <v>39</v>
      </c>
      <c r="B17">
        <v>43</v>
      </c>
      <c r="C17" s="1" t="s">
        <v>25</v>
      </c>
      <c r="D17" s="1" t="s">
        <v>5</v>
      </c>
      <c r="E17" s="1" t="s">
        <v>16</v>
      </c>
      <c r="F17">
        <v>6</v>
      </c>
    </row>
    <row r="18" spans="1:6" x14ac:dyDescent="0.25">
      <c r="A18" s="1" t="s">
        <v>40</v>
      </c>
      <c r="B18">
        <v>43</v>
      </c>
      <c r="C18" s="1" t="s">
        <v>26</v>
      </c>
      <c r="D18" s="1" t="s">
        <v>10</v>
      </c>
      <c r="E18" s="1" t="s">
        <v>24</v>
      </c>
      <c r="F18">
        <v>6</v>
      </c>
    </row>
    <row r="19" spans="1:6" x14ac:dyDescent="0.25">
      <c r="A19" s="1" t="s">
        <v>41</v>
      </c>
      <c r="B19">
        <v>45.5</v>
      </c>
      <c r="C19" s="1" t="s">
        <v>32</v>
      </c>
      <c r="D19" s="1" t="s">
        <v>24</v>
      </c>
      <c r="E19" s="1" t="s">
        <v>17</v>
      </c>
      <c r="F19">
        <v>5</v>
      </c>
    </row>
    <row r="20" spans="1:6" x14ac:dyDescent="0.25">
      <c r="A20" s="1" t="s">
        <v>42</v>
      </c>
      <c r="B20">
        <v>47.5</v>
      </c>
      <c r="C20" s="1" t="s">
        <v>26</v>
      </c>
      <c r="D20" s="1" t="s">
        <v>7</v>
      </c>
      <c r="E20" s="1" t="s">
        <v>24</v>
      </c>
      <c r="F20">
        <v>7</v>
      </c>
    </row>
    <row r="21" spans="1:6" x14ac:dyDescent="0.25">
      <c r="A21" s="1" t="s">
        <v>43</v>
      </c>
      <c r="B21">
        <v>48</v>
      </c>
      <c r="C21" s="1" t="s">
        <v>25</v>
      </c>
      <c r="D21" s="1" t="s">
        <v>9</v>
      </c>
      <c r="E21" s="1" t="s">
        <v>16</v>
      </c>
      <c r="F21">
        <v>5</v>
      </c>
    </row>
    <row r="22" spans="1:6" x14ac:dyDescent="0.25">
      <c r="A22" s="1" t="s">
        <v>44</v>
      </c>
      <c r="B22">
        <v>49</v>
      </c>
      <c r="C22" s="1" t="s">
        <v>26</v>
      </c>
      <c r="D22" s="1" t="s">
        <v>5</v>
      </c>
      <c r="E22" s="1" t="s">
        <v>24</v>
      </c>
      <c r="F22">
        <v>6</v>
      </c>
    </row>
    <row r="23" spans="1:6" x14ac:dyDescent="0.25">
      <c r="A23" s="1" t="s">
        <v>45</v>
      </c>
      <c r="B23">
        <v>50.5</v>
      </c>
      <c r="C23" s="1" t="s">
        <v>25</v>
      </c>
      <c r="D23" s="1" t="s">
        <v>10</v>
      </c>
      <c r="E23" s="1" t="s">
        <v>17</v>
      </c>
      <c r="F23">
        <v>5</v>
      </c>
    </row>
    <row r="24" spans="1:6" x14ac:dyDescent="0.25">
      <c r="A24" s="1" t="s">
        <v>46</v>
      </c>
      <c r="B24">
        <v>53</v>
      </c>
      <c r="C24" s="1" t="s">
        <v>26</v>
      </c>
      <c r="D24" s="1" t="s">
        <v>9</v>
      </c>
      <c r="E24" s="1" t="s">
        <v>24</v>
      </c>
      <c r="F24">
        <v>5</v>
      </c>
    </row>
    <row r="25" spans="1:6" x14ac:dyDescent="0.25">
      <c r="A25" s="1" t="s">
        <v>47</v>
      </c>
      <c r="B25">
        <v>54</v>
      </c>
      <c r="C25" s="1" t="s">
        <v>25</v>
      </c>
      <c r="D25" s="1" t="s">
        <v>7</v>
      </c>
      <c r="E25" s="1" t="s">
        <v>16</v>
      </c>
      <c r="F25">
        <v>6</v>
      </c>
    </row>
    <row r="26" spans="1:6" x14ac:dyDescent="0.25">
      <c r="A26" s="1" t="s">
        <v>48</v>
      </c>
      <c r="B26">
        <v>55.5</v>
      </c>
      <c r="C26" s="1" t="s">
        <v>26</v>
      </c>
      <c r="D26" s="1" t="s">
        <v>10</v>
      </c>
      <c r="E26" s="1" t="s">
        <v>24</v>
      </c>
      <c r="F26">
        <v>5</v>
      </c>
    </row>
    <row r="27" spans="1:6" x14ac:dyDescent="0.25">
      <c r="A27" s="1" t="s">
        <v>49</v>
      </c>
      <c r="B27">
        <v>56.5</v>
      </c>
      <c r="C27" s="1" t="s">
        <v>25</v>
      </c>
      <c r="D27" s="1" t="s">
        <v>5</v>
      </c>
      <c r="E27" s="1" t="s">
        <v>17</v>
      </c>
      <c r="F27">
        <v>6</v>
      </c>
    </row>
    <row r="28" spans="1:6" x14ac:dyDescent="0.25">
      <c r="A28" s="1" t="s">
        <v>50</v>
      </c>
      <c r="B28">
        <v>59</v>
      </c>
      <c r="C28" s="1" t="s">
        <v>26</v>
      </c>
      <c r="D28" s="1" t="s">
        <v>7</v>
      </c>
      <c r="E28" s="1" t="s">
        <v>24</v>
      </c>
      <c r="F28">
        <v>5</v>
      </c>
    </row>
    <row r="29" spans="1:6" x14ac:dyDescent="0.25">
      <c r="A29" s="1" t="s">
        <v>51</v>
      </c>
      <c r="B29">
        <v>60</v>
      </c>
      <c r="C29" s="1" t="s">
        <v>25</v>
      </c>
      <c r="D29" s="1" t="s">
        <v>9</v>
      </c>
      <c r="E29" s="1" t="s">
        <v>16</v>
      </c>
      <c r="F29">
        <v>6</v>
      </c>
    </row>
    <row r="30" spans="1:6" x14ac:dyDescent="0.25">
      <c r="A30" s="1" t="s">
        <v>52</v>
      </c>
      <c r="B30">
        <v>63.5</v>
      </c>
      <c r="C30" s="1" t="s">
        <v>25</v>
      </c>
      <c r="D30" s="1" t="s">
        <v>10</v>
      </c>
      <c r="E30" s="1" t="s">
        <v>17</v>
      </c>
      <c r="F30">
        <v>7</v>
      </c>
    </row>
    <row r="31" spans="1:6" x14ac:dyDescent="0.25">
      <c r="A31" s="1" t="s">
        <v>53</v>
      </c>
      <c r="B31">
        <v>63.5</v>
      </c>
      <c r="C31" s="1" t="s">
        <v>26</v>
      </c>
      <c r="D31" s="1" t="s">
        <v>5</v>
      </c>
      <c r="E31" s="1" t="s">
        <v>24</v>
      </c>
      <c r="F31">
        <v>7</v>
      </c>
    </row>
    <row r="32" spans="1:6" x14ac:dyDescent="0.25">
      <c r="A32" s="1" t="s">
        <v>54</v>
      </c>
      <c r="B32">
        <v>65</v>
      </c>
      <c r="C32" s="1" t="s">
        <v>26</v>
      </c>
      <c r="D32" s="1" t="s">
        <v>9</v>
      </c>
      <c r="E32" s="1" t="s">
        <v>24</v>
      </c>
      <c r="F32">
        <v>5</v>
      </c>
    </row>
    <row r="33" spans="1:6" x14ac:dyDescent="0.25">
      <c r="A33" s="1" t="s">
        <v>55</v>
      </c>
      <c r="B33">
        <v>66</v>
      </c>
      <c r="C33" s="1" t="s">
        <v>25</v>
      </c>
      <c r="D33" s="1" t="s">
        <v>7</v>
      </c>
      <c r="E33" s="1" t="s">
        <v>16</v>
      </c>
      <c r="F33">
        <v>6</v>
      </c>
    </row>
    <row r="34" spans="1:6" x14ac:dyDescent="0.25">
      <c r="A34" s="1" t="s">
        <v>56</v>
      </c>
      <c r="B34">
        <v>68.5</v>
      </c>
      <c r="C34" s="1" t="s">
        <v>32</v>
      </c>
      <c r="D34" s="1" t="s">
        <v>24</v>
      </c>
      <c r="E34" s="1" t="s">
        <v>17</v>
      </c>
      <c r="F34">
        <v>5</v>
      </c>
    </row>
    <row r="35" spans="1:6" x14ac:dyDescent="0.25">
      <c r="A35" s="1" t="s">
        <v>57</v>
      </c>
      <c r="B35">
        <v>69.5</v>
      </c>
      <c r="C35" s="1" t="s">
        <v>26</v>
      </c>
      <c r="D35" s="1" t="s">
        <v>10</v>
      </c>
      <c r="E35" s="1" t="s">
        <v>24</v>
      </c>
      <c r="F35">
        <v>6</v>
      </c>
    </row>
    <row r="36" spans="1:6" x14ac:dyDescent="0.25">
      <c r="A36" s="1" t="s">
        <v>58</v>
      </c>
      <c r="B36">
        <v>71</v>
      </c>
      <c r="C36" s="1" t="s">
        <v>25</v>
      </c>
      <c r="D36" s="1" t="s">
        <v>9</v>
      </c>
      <c r="E36" s="1" t="s">
        <v>16</v>
      </c>
      <c r="F36">
        <v>5</v>
      </c>
    </row>
    <row r="37" spans="1:6" x14ac:dyDescent="0.25">
      <c r="A37" s="1" t="s">
        <v>59</v>
      </c>
      <c r="B37">
        <v>73.5</v>
      </c>
      <c r="C37" s="1" t="s">
        <v>32</v>
      </c>
      <c r="D37" s="1" t="s">
        <v>24</v>
      </c>
      <c r="E37" s="1" t="s">
        <v>17</v>
      </c>
      <c r="F37">
        <v>5</v>
      </c>
    </row>
    <row r="38" spans="1:6" x14ac:dyDescent="0.25">
      <c r="A38" s="1" t="s">
        <v>60</v>
      </c>
      <c r="B38">
        <v>74</v>
      </c>
      <c r="C38" s="1" t="s">
        <v>26</v>
      </c>
      <c r="D38" s="1" t="s">
        <v>7</v>
      </c>
      <c r="E38" s="1" t="s">
        <v>24</v>
      </c>
      <c r="F38">
        <v>8</v>
      </c>
    </row>
    <row r="39" spans="1:6" x14ac:dyDescent="0.25">
      <c r="A39" s="1" t="s">
        <v>61</v>
      </c>
      <c r="B39">
        <v>76</v>
      </c>
      <c r="C39" s="1" t="s">
        <v>26</v>
      </c>
      <c r="D39" s="1" t="s">
        <v>9</v>
      </c>
      <c r="E39" s="1" t="s">
        <v>24</v>
      </c>
      <c r="F39">
        <v>5</v>
      </c>
    </row>
    <row r="40" spans="1:6" x14ac:dyDescent="0.25">
      <c r="A40" s="1" t="s">
        <v>62</v>
      </c>
      <c r="B40">
        <v>77</v>
      </c>
      <c r="C40" s="1" t="s">
        <v>25</v>
      </c>
      <c r="D40" s="1" t="s">
        <v>10</v>
      </c>
      <c r="E40" s="1" t="s">
        <v>16</v>
      </c>
      <c r="F40">
        <v>6</v>
      </c>
    </row>
    <row r="41" spans="1:6" x14ac:dyDescent="0.25">
      <c r="A41" s="1" t="s">
        <v>63</v>
      </c>
      <c r="B41">
        <v>78.5</v>
      </c>
      <c r="C41" s="1" t="s">
        <v>32</v>
      </c>
      <c r="D41" s="1" t="s">
        <v>24</v>
      </c>
      <c r="E41" s="1" t="s">
        <v>17</v>
      </c>
      <c r="F41">
        <v>5</v>
      </c>
    </row>
    <row r="42" spans="1:6" x14ac:dyDescent="0.25">
      <c r="A42" s="1" t="s">
        <v>64</v>
      </c>
      <c r="B42">
        <v>82</v>
      </c>
      <c r="C42" s="1" t="s">
        <v>32</v>
      </c>
      <c r="D42" s="1" t="s">
        <v>24</v>
      </c>
      <c r="E42" s="1" t="s">
        <v>16</v>
      </c>
      <c r="F42">
        <v>5</v>
      </c>
    </row>
    <row r="43" spans="1:6" x14ac:dyDescent="0.25">
      <c r="A43" s="1" t="s">
        <v>65</v>
      </c>
      <c r="B43">
        <v>83.5</v>
      </c>
      <c r="C43" s="1" t="s">
        <v>32</v>
      </c>
      <c r="D43" s="1" t="s">
        <v>24</v>
      </c>
      <c r="E43" s="1" t="s">
        <v>17</v>
      </c>
      <c r="F43">
        <v>5</v>
      </c>
    </row>
    <row r="44" spans="1:6" x14ac:dyDescent="0.25">
      <c r="A44" s="1" t="s">
        <v>66</v>
      </c>
      <c r="B44">
        <v>84</v>
      </c>
      <c r="C44" s="1" t="s">
        <v>26</v>
      </c>
      <c r="D44" s="1" t="s">
        <v>10</v>
      </c>
      <c r="E44" s="1" t="s">
        <v>24</v>
      </c>
      <c r="F44">
        <v>7</v>
      </c>
    </row>
    <row r="45" spans="1:6" x14ac:dyDescent="0.25">
      <c r="A45" s="1" t="s">
        <v>67</v>
      </c>
      <c r="B45">
        <v>87</v>
      </c>
      <c r="C45" s="1" t="s">
        <v>32</v>
      </c>
      <c r="D45" s="1" t="s">
        <v>24</v>
      </c>
      <c r="E45" s="1" t="s">
        <v>16</v>
      </c>
      <c r="F45">
        <v>5</v>
      </c>
    </row>
    <row r="46" spans="1:6" x14ac:dyDescent="0.25">
      <c r="A46" s="1" t="s">
        <v>68</v>
      </c>
      <c r="B46">
        <v>88.5</v>
      </c>
      <c r="C46" s="1" t="s">
        <v>32</v>
      </c>
      <c r="D46" s="1" t="s">
        <v>24</v>
      </c>
      <c r="E46" s="1" t="s">
        <v>17</v>
      </c>
      <c r="F46">
        <v>5</v>
      </c>
    </row>
    <row r="47" spans="1:6" x14ac:dyDescent="0.25">
      <c r="A47" s="1" t="s">
        <v>69</v>
      </c>
      <c r="B47">
        <v>92</v>
      </c>
      <c r="C47" s="1" t="s">
        <v>25</v>
      </c>
      <c r="D47" s="1" t="s">
        <v>10</v>
      </c>
      <c r="E47" s="1" t="s">
        <v>16</v>
      </c>
      <c r="F47">
        <v>5</v>
      </c>
    </row>
    <row r="48" spans="1:6" x14ac:dyDescent="0.25">
      <c r="A48" s="1" t="s">
        <v>70</v>
      </c>
      <c r="B48">
        <v>93.5</v>
      </c>
      <c r="C48" s="1" t="s">
        <v>32</v>
      </c>
      <c r="D48" s="1" t="s">
        <v>24</v>
      </c>
      <c r="E48" s="1" t="s">
        <v>17</v>
      </c>
      <c r="F48">
        <v>5</v>
      </c>
    </row>
    <row r="49" spans="1:6" x14ac:dyDescent="0.25">
      <c r="A49" s="1" t="s">
        <v>71</v>
      </c>
      <c r="B49">
        <v>97</v>
      </c>
      <c r="C49" s="1" t="s">
        <v>32</v>
      </c>
      <c r="D49" s="1" t="s">
        <v>24</v>
      </c>
      <c r="E49" s="1" t="s">
        <v>16</v>
      </c>
      <c r="F49">
        <v>5</v>
      </c>
    </row>
    <row r="50" spans="1:6" x14ac:dyDescent="0.25">
      <c r="A50" s="1" t="s">
        <v>72</v>
      </c>
      <c r="B50">
        <v>98</v>
      </c>
      <c r="C50" s="1" t="s">
        <v>26</v>
      </c>
      <c r="D50" s="1" t="s">
        <v>10</v>
      </c>
      <c r="E50" s="1" t="s">
        <v>24</v>
      </c>
      <c r="F50">
        <v>6</v>
      </c>
    </row>
    <row r="51" spans="1:6" x14ac:dyDescent="0.25">
      <c r="A51" s="1" t="s">
        <v>73</v>
      </c>
      <c r="B51">
        <v>98.5</v>
      </c>
      <c r="C51" s="1" t="s">
        <v>32</v>
      </c>
      <c r="D51" s="1" t="s">
        <v>24</v>
      </c>
      <c r="E51" s="1" t="s">
        <v>17</v>
      </c>
      <c r="F51">
        <v>5</v>
      </c>
    </row>
    <row r="52" spans="1:6" x14ac:dyDescent="0.25">
      <c r="A52" s="1" t="s">
        <v>74</v>
      </c>
      <c r="B52">
        <v>102</v>
      </c>
      <c r="C52" s="1" t="s">
        <v>32</v>
      </c>
      <c r="D52" s="1" t="s">
        <v>24</v>
      </c>
      <c r="E52" s="1" t="s">
        <v>16</v>
      </c>
      <c r="F52">
        <v>5</v>
      </c>
    </row>
    <row r="53" spans="1:6" x14ac:dyDescent="0.25">
      <c r="A53" s="1" t="s">
        <v>75</v>
      </c>
      <c r="B53">
        <v>105.5</v>
      </c>
      <c r="C53" s="1" t="s">
        <v>25</v>
      </c>
      <c r="D53" s="1" t="s">
        <v>10</v>
      </c>
      <c r="E53" s="1" t="s">
        <v>17</v>
      </c>
      <c r="F53">
        <v>7</v>
      </c>
    </row>
    <row r="54" spans="1:6" x14ac:dyDescent="0.25">
      <c r="A54" s="1" t="s">
        <v>76</v>
      </c>
      <c r="B54">
        <v>107</v>
      </c>
      <c r="C54" s="1" t="s">
        <v>32</v>
      </c>
      <c r="D54" s="1" t="s">
        <v>24</v>
      </c>
      <c r="E54" s="1" t="s">
        <v>16</v>
      </c>
      <c r="F54">
        <v>5</v>
      </c>
    </row>
    <row r="55" spans="1:6" x14ac:dyDescent="0.25">
      <c r="A55" s="1" t="s">
        <v>77</v>
      </c>
      <c r="B55">
        <v>110.5</v>
      </c>
      <c r="C55" s="1" t="s">
        <v>32</v>
      </c>
      <c r="D55" s="1" t="s">
        <v>24</v>
      </c>
      <c r="E55" s="1" t="s">
        <v>17</v>
      </c>
      <c r="F55">
        <v>5</v>
      </c>
    </row>
    <row r="56" spans="1:6" x14ac:dyDescent="0.25">
      <c r="A56" s="1" t="s">
        <v>78</v>
      </c>
      <c r="B56">
        <v>112</v>
      </c>
      <c r="C56" s="1" t="s">
        <v>32</v>
      </c>
      <c r="D56" s="1" t="s">
        <v>24</v>
      </c>
      <c r="E56" s="1" t="s">
        <v>16</v>
      </c>
      <c r="F56">
        <v>5</v>
      </c>
    </row>
    <row r="57" spans="1:6" x14ac:dyDescent="0.25">
      <c r="A57" s="1" t="s">
        <v>79</v>
      </c>
      <c r="B57">
        <v>112.5</v>
      </c>
      <c r="C57" s="1" t="s">
        <v>26</v>
      </c>
      <c r="D57" s="1" t="s">
        <v>10</v>
      </c>
      <c r="E57" s="1" t="s">
        <v>24</v>
      </c>
      <c r="F57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63F9-87F5-4A34-B305-F3D87949A82A}">
  <dimension ref="A1:D6"/>
  <sheetViews>
    <sheetView workbookViewId="0">
      <selection activeCell="D19" sqref="D19"/>
    </sheetView>
  </sheetViews>
  <sheetFormatPr defaultRowHeight="15" x14ac:dyDescent="0.25"/>
  <cols>
    <col min="1" max="1" width="10.85546875" bestFit="1" customWidth="1"/>
    <col min="2" max="2" width="13.42578125" bestFit="1" customWidth="1"/>
    <col min="3" max="3" width="16" bestFit="1" customWidth="1"/>
    <col min="4" max="4" width="17.7109375" bestFit="1" customWidth="1"/>
  </cols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 s="1" t="s">
        <v>16</v>
      </c>
      <c r="B2">
        <v>61</v>
      </c>
      <c r="C2">
        <v>35</v>
      </c>
      <c r="D2">
        <v>96</v>
      </c>
    </row>
    <row r="3" spans="1:4" x14ac:dyDescent="0.25">
      <c r="A3" s="1" t="s">
        <v>17</v>
      </c>
      <c r="B3">
        <v>43</v>
      </c>
      <c r="C3">
        <v>45</v>
      </c>
      <c r="D3">
        <v>88</v>
      </c>
    </row>
    <row r="5" spans="1:4" x14ac:dyDescent="0.25">
      <c r="A5" t="s">
        <v>80</v>
      </c>
      <c r="B5">
        <f>SUM(waitress[time_filling])</f>
        <v>104</v>
      </c>
      <c r="C5">
        <f>SUM(waitress[time_cleaning])</f>
        <v>80</v>
      </c>
      <c r="D5">
        <f>SUM(waitress[total_busy_time])</f>
        <v>184</v>
      </c>
    </row>
    <row r="6" spans="1:4" x14ac:dyDescent="0.25">
      <c r="A6" t="s">
        <v>81</v>
      </c>
      <c r="B6">
        <v>112.5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801E7-ADD3-400C-8BF7-533B385AC687}">
  <dimension ref="A1:E8"/>
  <sheetViews>
    <sheetView workbookViewId="0">
      <selection activeCell="E26" sqref="E26"/>
    </sheetView>
  </sheetViews>
  <sheetFormatPr defaultRowHeight="15" x14ac:dyDescent="0.25"/>
  <cols>
    <col min="1" max="1" width="11.5703125" bestFit="1" customWidth="1"/>
    <col min="2" max="2" width="13.85546875" bestFit="1" customWidth="1"/>
    <col min="3" max="3" width="11.7109375" bestFit="1" customWidth="1"/>
    <col min="4" max="4" width="17.140625" bestFit="1" customWidth="1"/>
    <col min="5" max="5" width="20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12.5</v>
      </c>
      <c r="C2">
        <v>63.5</v>
      </c>
      <c r="D2">
        <v>24</v>
      </c>
      <c r="E2" s="1">
        <v>2</v>
      </c>
    </row>
    <row r="3" spans="1:5" x14ac:dyDescent="0.25">
      <c r="A3" s="1" t="s">
        <v>7</v>
      </c>
      <c r="B3">
        <v>20</v>
      </c>
      <c r="C3">
        <v>74</v>
      </c>
      <c r="D3">
        <v>29</v>
      </c>
      <c r="E3" s="1">
        <v>3</v>
      </c>
    </row>
    <row r="4" spans="1:5" x14ac:dyDescent="0.25">
      <c r="A4" s="1" t="s">
        <v>9</v>
      </c>
      <c r="B4">
        <v>27.5</v>
      </c>
      <c r="C4">
        <v>76</v>
      </c>
      <c r="D4">
        <v>26.5</v>
      </c>
      <c r="E4" s="1">
        <v>3</v>
      </c>
    </row>
    <row r="5" spans="1:5" x14ac:dyDescent="0.25">
      <c r="A5" s="1" t="s">
        <v>10</v>
      </c>
      <c r="B5">
        <v>30</v>
      </c>
      <c r="C5">
        <v>112.5</v>
      </c>
      <c r="D5">
        <v>45.5</v>
      </c>
      <c r="E5" s="1">
        <v>4</v>
      </c>
    </row>
    <row r="7" spans="1:5" x14ac:dyDescent="0.25">
      <c r="A7" t="s">
        <v>80</v>
      </c>
      <c r="D7">
        <f>SUM(client[total_wait_time])</f>
        <v>125</v>
      </c>
    </row>
    <row r="8" spans="1:5" x14ac:dyDescent="0.25">
      <c r="A8" t="s">
        <v>81</v>
      </c>
      <c r="B8">
        <v>112.5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FDBC-243A-4F8F-B5D5-EC786F75DA42}">
  <dimension ref="A1:F29"/>
  <sheetViews>
    <sheetView tabSelected="1" workbookViewId="0"/>
  </sheetViews>
  <sheetFormatPr defaultRowHeight="15" x14ac:dyDescent="0.25"/>
  <cols>
    <col min="1" max="1" width="5" bestFit="1" customWidth="1"/>
    <col min="2" max="2" width="8" bestFit="1" customWidth="1"/>
    <col min="3" max="3" width="8.7109375" bestFit="1" customWidth="1"/>
    <col min="4" max="4" width="8.42578125" bestFit="1" customWidth="1"/>
    <col min="5" max="6" width="10.85546875" bestFit="1" customWidth="1"/>
  </cols>
  <sheetData>
    <row r="1" spans="1:6" x14ac:dyDescent="0.25">
      <c r="A1" t="s">
        <v>18</v>
      </c>
      <c r="B1" t="s">
        <v>19</v>
      </c>
      <c r="C1" t="s">
        <v>20</v>
      </c>
      <c r="D1" t="s">
        <v>0</v>
      </c>
      <c r="E1" t="s">
        <v>12</v>
      </c>
      <c r="F1" t="s">
        <v>21</v>
      </c>
    </row>
    <row r="2" spans="1:6" x14ac:dyDescent="0.25">
      <c r="A2" s="1" t="s">
        <v>22</v>
      </c>
      <c r="B2">
        <v>2.5</v>
      </c>
      <c r="C2" s="1" t="s">
        <v>23</v>
      </c>
      <c r="D2" s="1" t="s">
        <v>5</v>
      </c>
      <c r="E2" s="1" t="s">
        <v>24</v>
      </c>
      <c r="F2">
        <v>2.5</v>
      </c>
    </row>
    <row r="3" spans="1:6" x14ac:dyDescent="0.25">
      <c r="A3" s="1" t="s">
        <v>6</v>
      </c>
      <c r="B3">
        <v>9.5</v>
      </c>
      <c r="C3" s="1" t="s">
        <v>25</v>
      </c>
      <c r="D3" s="1" t="s">
        <v>5</v>
      </c>
      <c r="E3" s="1" t="s">
        <v>16</v>
      </c>
      <c r="F3">
        <v>7</v>
      </c>
    </row>
    <row r="4" spans="1:6" x14ac:dyDescent="0.25">
      <c r="A4" s="1" t="s">
        <v>8</v>
      </c>
      <c r="B4">
        <v>17.5</v>
      </c>
      <c r="C4" s="1" t="s">
        <v>26</v>
      </c>
      <c r="D4" s="1" t="s">
        <v>5</v>
      </c>
      <c r="E4" s="1" t="s">
        <v>24</v>
      </c>
      <c r="F4">
        <v>8</v>
      </c>
    </row>
    <row r="5" spans="1:6" x14ac:dyDescent="0.25">
      <c r="A5" s="1" t="s">
        <v>11</v>
      </c>
      <c r="B5">
        <v>22.5</v>
      </c>
      <c r="C5" s="1" t="s">
        <v>32</v>
      </c>
      <c r="D5" s="1" t="s">
        <v>24</v>
      </c>
      <c r="E5" s="1" t="s">
        <v>17</v>
      </c>
      <c r="F5">
        <v>5</v>
      </c>
    </row>
    <row r="6" spans="1:6" x14ac:dyDescent="0.25">
      <c r="A6" s="1" t="s">
        <v>27</v>
      </c>
      <c r="B6">
        <v>23.5</v>
      </c>
      <c r="C6" s="1" t="s">
        <v>25</v>
      </c>
      <c r="D6" s="1" t="s">
        <v>5</v>
      </c>
      <c r="E6" s="1" t="s">
        <v>16</v>
      </c>
      <c r="F6">
        <v>6</v>
      </c>
    </row>
    <row r="7" spans="1:6" x14ac:dyDescent="0.25">
      <c r="A7" s="1" t="s">
        <v>28</v>
      </c>
      <c r="B7">
        <v>25</v>
      </c>
      <c r="C7" s="1" t="s">
        <v>23</v>
      </c>
      <c r="D7" s="1" t="s">
        <v>7</v>
      </c>
      <c r="E7" s="1" t="s">
        <v>24</v>
      </c>
      <c r="F7">
        <v>22.5</v>
      </c>
    </row>
    <row r="8" spans="1:6" x14ac:dyDescent="0.25">
      <c r="A8" s="1" t="s">
        <v>29</v>
      </c>
      <c r="B8">
        <v>31</v>
      </c>
      <c r="C8" s="1" t="s">
        <v>25</v>
      </c>
      <c r="D8" s="1" t="s">
        <v>7</v>
      </c>
      <c r="E8" s="1" t="s">
        <v>16</v>
      </c>
      <c r="F8">
        <v>6</v>
      </c>
    </row>
    <row r="9" spans="1:6" x14ac:dyDescent="0.25">
      <c r="A9" s="1" t="s">
        <v>30</v>
      </c>
      <c r="B9">
        <v>31.5</v>
      </c>
      <c r="C9" s="1" t="s">
        <v>26</v>
      </c>
      <c r="D9" s="1" t="s">
        <v>5</v>
      </c>
      <c r="E9" s="1" t="s">
        <v>24</v>
      </c>
      <c r="F9">
        <v>8</v>
      </c>
    </row>
    <row r="10" spans="1:6" x14ac:dyDescent="0.25">
      <c r="A10" s="1" t="s">
        <v>31</v>
      </c>
      <c r="B10">
        <v>35.5</v>
      </c>
      <c r="C10" s="1" t="s">
        <v>25</v>
      </c>
      <c r="D10" s="1" t="s">
        <v>5</v>
      </c>
      <c r="E10" s="1" t="s">
        <v>16</v>
      </c>
      <c r="F10">
        <v>4</v>
      </c>
    </row>
    <row r="11" spans="1:6" x14ac:dyDescent="0.25">
      <c r="A11" s="1" t="s">
        <v>33</v>
      </c>
      <c r="B11">
        <v>36.5</v>
      </c>
      <c r="C11" s="1" t="s">
        <v>32</v>
      </c>
      <c r="D11" s="1" t="s">
        <v>24</v>
      </c>
      <c r="E11" s="1" t="s">
        <v>17</v>
      </c>
      <c r="F11">
        <v>5</v>
      </c>
    </row>
    <row r="12" spans="1:6" x14ac:dyDescent="0.25">
      <c r="A12" s="1" t="s">
        <v>34</v>
      </c>
      <c r="B12">
        <v>39</v>
      </c>
      <c r="C12" s="1" t="s">
        <v>26</v>
      </c>
      <c r="D12" s="1" t="s">
        <v>7</v>
      </c>
      <c r="E12" s="1" t="s">
        <v>24</v>
      </c>
      <c r="F12">
        <v>8</v>
      </c>
    </row>
    <row r="13" spans="1:6" x14ac:dyDescent="0.25">
      <c r="A13" s="1" t="s">
        <v>35</v>
      </c>
      <c r="B13">
        <v>40.5</v>
      </c>
      <c r="C13" s="1" t="s">
        <v>26</v>
      </c>
      <c r="D13" s="1" t="s">
        <v>5</v>
      </c>
      <c r="E13" s="1" t="s">
        <v>24</v>
      </c>
      <c r="F13">
        <v>5</v>
      </c>
    </row>
    <row r="14" spans="1:6" x14ac:dyDescent="0.25">
      <c r="A14" s="1" t="s">
        <v>36</v>
      </c>
      <c r="B14">
        <v>44</v>
      </c>
      <c r="C14" s="1" t="s">
        <v>32</v>
      </c>
      <c r="D14" s="1" t="s">
        <v>24</v>
      </c>
      <c r="E14" s="1" t="s">
        <v>17</v>
      </c>
      <c r="F14">
        <v>5</v>
      </c>
    </row>
    <row r="15" spans="1:6" x14ac:dyDescent="0.25">
      <c r="A15" s="1" t="s">
        <v>37</v>
      </c>
      <c r="B15">
        <v>45</v>
      </c>
      <c r="C15" s="1" t="s">
        <v>25</v>
      </c>
      <c r="D15" s="1" t="s">
        <v>7</v>
      </c>
      <c r="E15" s="1" t="s">
        <v>16</v>
      </c>
      <c r="F15">
        <v>6</v>
      </c>
    </row>
    <row r="16" spans="1:6" x14ac:dyDescent="0.25">
      <c r="A16" s="1" t="s">
        <v>38</v>
      </c>
      <c r="B16">
        <v>50</v>
      </c>
      <c r="C16" s="1" t="s">
        <v>25</v>
      </c>
      <c r="D16" s="1" t="s">
        <v>5</v>
      </c>
      <c r="E16" s="1" t="s">
        <v>17</v>
      </c>
      <c r="F16">
        <v>6</v>
      </c>
    </row>
    <row r="17" spans="1:6" x14ac:dyDescent="0.25">
      <c r="A17" s="1" t="s">
        <v>39</v>
      </c>
      <c r="B17">
        <v>50</v>
      </c>
      <c r="C17" s="1" t="s">
        <v>32</v>
      </c>
      <c r="D17" s="1" t="s">
        <v>24</v>
      </c>
      <c r="E17" s="1" t="s">
        <v>16</v>
      </c>
      <c r="F17">
        <v>5</v>
      </c>
    </row>
    <row r="18" spans="1:6" x14ac:dyDescent="0.25">
      <c r="A18" s="1" t="s">
        <v>40</v>
      </c>
      <c r="B18">
        <v>50</v>
      </c>
      <c r="C18" s="1" t="s">
        <v>26</v>
      </c>
      <c r="D18" s="1" t="s">
        <v>7</v>
      </c>
      <c r="E18" s="1" t="s">
        <v>24</v>
      </c>
      <c r="F18">
        <v>5</v>
      </c>
    </row>
    <row r="19" spans="1:6" x14ac:dyDescent="0.25">
      <c r="A19" s="1" t="s">
        <v>41</v>
      </c>
      <c r="B19">
        <v>55</v>
      </c>
      <c r="C19" s="1" t="s">
        <v>25</v>
      </c>
      <c r="D19" s="1" t="s">
        <v>7</v>
      </c>
      <c r="E19" s="1" t="s">
        <v>16</v>
      </c>
      <c r="F19">
        <v>5</v>
      </c>
    </row>
    <row r="20" spans="1:6" x14ac:dyDescent="0.25">
      <c r="A20" s="1" t="s">
        <v>42</v>
      </c>
      <c r="B20">
        <v>55</v>
      </c>
      <c r="C20" s="1" t="s">
        <v>32</v>
      </c>
      <c r="D20" s="1" t="s">
        <v>24</v>
      </c>
      <c r="E20" s="1" t="s">
        <v>17</v>
      </c>
      <c r="F20">
        <v>5</v>
      </c>
    </row>
    <row r="21" spans="1:6" x14ac:dyDescent="0.25">
      <c r="A21" s="1" t="s">
        <v>43</v>
      </c>
      <c r="B21">
        <v>56</v>
      </c>
      <c r="C21" s="1" t="s">
        <v>26</v>
      </c>
      <c r="D21" s="1" t="s">
        <v>5</v>
      </c>
      <c r="E21" s="1" t="s">
        <v>24</v>
      </c>
      <c r="F21">
        <v>6</v>
      </c>
    </row>
    <row r="22" spans="1:6" x14ac:dyDescent="0.25">
      <c r="A22" s="1" t="s">
        <v>44</v>
      </c>
      <c r="B22">
        <v>60</v>
      </c>
      <c r="C22" s="1" t="s">
        <v>26</v>
      </c>
      <c r="D22" s="1" t="s">
        <v>7</v>
      </c>
      <c r="E22" s="1" t="s">
        <v>24</v>
      </c>
      <c r="F22">
        <v>5</v>
      </c>
    </row>
    <row r="23" spans="1:6" x14ac:dyDescent="0.25">
      <c r="A23" s="1" t="s">
        <v>45</v>
      </c>
      <c r="B23">
        <v>61</v>
      </c>
      <c r="C23" s="1" t="s">
        <v>32</v>
      </c>
      <c r="D23" s="1" t="s">
        <v>24</v>
      </c>
      <c r="E23" s="1" t="s">
        <v>17</v>
      </c>
      <c r="F23">
        <v>5</v>
      </c>
    </row>
    <row r="24" spans="1:6" x14ac:dyDescent="0.25">
      <c r="A24" s="1" t="s">
        <v>46</v>
      </c>
      <c r="B24">
        <v>63</v>
      </c>
      <c r="C24" s="1" t="s">
        <v>25</v>
      </c>
      <c r="D24" s="1" t="s">
        <v>5</v>
      </c>
      <c r="E24" s="1" t="s">
        <v>16</v>
      </c>
      <c r="F24">
        <v>7</v>
      </c>
    </row>
    <row r="25" spans="1:6" x14ac:dyDescent="0.25">
      <c r="A25" s="1" t="s">
        <v>47</v>
      </c>
      <c r="B25">
        <v>68</v>
      </c>
      <c r="C25" s="1" t="s">
        <v>25</v>
      </c>
      <c r="D25" s="1" t="s">
        <v>7</v>
      </c>
      <c r="E25" s="1" t="s">
        <v>17</v>
      </c>
      <c r="F25">
        <v>7</v>
      </c>
    </row>
    <row r="26" spans="1:6" x14ac:dyDescent="0.25">
      <c r="A26" s="1" t="s">
        <v>48</v>
      </c>
      <c r="B26">
        <v>68</v>
      </c>
      <c r="C26" s="1" t="s">
        <v>32</v>
      </c>
      <c r="D26" s="1" t="s">
        <v>24</v>
      </c>
      <c r="E26" s="1" t="s">
        <v>16</v>
      </c>
      <c r="F26">
        <v>5</v>
      </c>
    </row>
    <row r="27" spans="1:6" x14ac:dyDescent="0.25">
      <c r="A27" s="1" t="s">
        <v>49</v>
      </c>
      <c r="B27">
        <v>68</v>
      </c>
      <c r="C27" s="1" t="s">
        <v>26</v>
      </c>
      <c r="D27" s="1" t="s">
        <v>5</v>
      </c>
      <c r="E27" s="1" t="s">
        <v>24</v>
      </c>
      <c r="F27">
        <v>5</v>
      </c>
    </row>
    <row r="28" spans="1:6" x14ac:dyDescent="0.25">
      <c r="A28" s="1" t="s">
        <v>50</v>
      </c>
      <c r="B28">
        <v>73</v>
      </c>
      <c r="C28" s="1" t="s">
        <v>32</v>
      </c>
      <c r="D28" s="1" t="s">
        <v>24</v>
      </c>
      <c r="E28" s="1" t="s">
        <v>16</v>
      </c>
      <c r="F28">
        <v>5</v>
      </c>
    </row>
    <row r="29" spans="1:6" x14ac:dyDescent="0.25">
      <c r="A29" s="1" t="s">
        <v>51</v>
      </c>
      <c r="B29">
        <v>75</v>
      </c>
      <c r="C29" s="1" t="s">
        <v>26</v>
      </c>
      <c r="D29" s="1" t="s">
        <v>7</v>
      </c>
      <c r="E29" s="1" t="s">
        <v>24</v>
      </c>
      <c r="F29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42FF-EBCB-45E8-89B6-F6D147044122}">
  <dimension ref="A1:D6"/>
  <sheetViews>
    <sheetView workbookViewId="0">
      <selection activeCell="B6" sqref="A6:B6"/>
    </sheetView>
  </sheetViews>
  <sheetFormatPr defaultRowHeight="15" x14ac:dyDescent="0.25"/>
  <cols>
    <col min="1" max="1" width="10.85546875" bestFit="1" customWidth="1"/>
    <col min="2" max="2" width="13.42578125" bestFit="1" customWidth="1"/>
    <col min="3" max="3" width="16" bestFit="1" customWidth="1"/>
    <col min="4" max="4" width="17.7109375" bestFit="1" customWidth="1"/>
  </cols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 s="1" t="s">
        <v>16</v>
      </c>
      <c r="B2">
        <v>41</v>
      </c>
      <c r="C2">
        <v>15</v>
      </c>
      <c r="D2">
        <v>56</v>
      </c>
    </row>
    <row r="3" spans="1:4" x14ac:dyDescent="0.25">
      <c r="A3" s="1" t="s">
        <v>17</v>
      </c>
      <c r="B3">
        <v>13</v>
      </c>
      <c r="C3">
        <v>25</v>
      </c>
      <c r="D3">
        <v>38</v>
      </c>
    </row>
    <row r="5" spans="1:4" x14ac:dyDescent="0.25">
      <c r="A5" t="s">
        <v>82</v>
      </c>
      <c r="B5">
        <f>SUM(waitress__2[time_filling])</f>
        <v>54</v>
      </c>
      <c r="C5">
        <f>SUM(waitress__2[time_cleaning])</f>
        <v>40</v>
      </c>
      <c r="D5">
        <f>SUM(waitress__2[total_busy_time])</f>
        <v>94</v>
      </c>
    </row>
    <row r="6" spans="1:4" x14ac:dyDescent="0.25">
      <c r="A6" t="s">
        <v>83</v>
      </c>
      <c r="B6">
        <v>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6490-362B-4390-918D-445C43065F7C}">
  <dimension ref="A1:E6"/>
  <sheetViews>
    <sheetView workbookViewId="0">
      <selection activeCell="D6" sqref="D6"/>
    </sheetView>
  </sheetViews>
  <sheetFormatPr defaultRowHeight="15" x14ac:dyDescent="0.25"/>
  <cols>
    <col min="1" max="1" width="11.140625" bestFit="1" customWidth="1"/>
    <col min="2" max="2" width="13.85546875" bestFit="1" customWidth="1"/>
    <col min="3" max="3" width="11.7109375" bestFit="1" customWidth="1"/>
    <col min="4" max="4" width="17.140625" bestFit="1" customWidth="1"/>
    <col min="5" max="5" width="20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2.5</v>
      </c>
      <c r="C2">
        <v>68</v>
      </c>
      <c r="D2">
        <v>33.5</v>
      </c>
      <c r="E2" s="1">
        <v>4</v>
      </c>
    </row>
    <row r="3" spans="1:5" x14ac:dyDescent="0.25">
      <c r="A3" s="1" t="s">
        <v>7</v>
      </c>
      <c r="B3">
        <v>25</v>
      </c>
      <c r="C3">
        <v>75</v>
      </c>
      <c r="D3">
        <v>25</v>
      </c>
      <c r="E3" s="1">
        <v>3</v>
      </c>
    </row>
    <row r="5" spans="1:5" x14ac:dyDescent="0.25">
      <c r="A5" t="s">
        <v>84</v>
      </c>
      <c r="D5">
        <f>SUM(client__2[total_wait_time])</f>
        <v>58.5</v>
      </c>
    </row>
    <row r="6" spans="1:5" x14ac:dyDescent="0.25">
      <c r="A6" t="s">
        <v>83</v>
      </c>
      <c r="B6">
        <v>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B25111-3562-4870-8AE9-FEDAE83501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Timeline1</vt:lpstr>
      <vt:lpstr>Waitress1</vt:lpstr>
      <vt:lpstr>Client1</vt:lpstr>
      <vt:lpstr>Timeline2</vt:lpstr>
      <vt:lpstr>Waitress2</vt:lpstr>
      <vt:lpstr>Client2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Goulart Jantsch</dc:creator>
  <cp:lastModifiedBy>Vitor Goulart Jantsch</cp:lastModifiedBy>
  <dcterms:created xsi:type="dcterms:W3CDTF">2026-09-13T21:50:27Z</dcterms:created>
  <dcterms:modified xsi:type="dcterms:W3CDTF">2026-09-13T22:18:09Z</dcterms:modified>
</cp:coreProperties>
</file>